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ransaction_raw" sheetId="1" r:id="rId1"/>
    <sheet name="transaction_cleaned" sheetId="4" r:id="rId2"/>
    <sheet name="exchange_rates" sheetId="2" r:id="rId3"/>
    <sheet name="merchant_master" sheetId="3" r:id="rId4"/>
  </sheets>
  <definedNames>
    <definedName name="_xlnm._FilterDatabase" localSheetId="1" hidden="1">transaction_cleaned!$A$1:$M$31</definedName>
    <definedName name="_xlnm._FilterDatabase" localSheetId="0" hidden="1">transaction_raw!$A$1:$J$31</definedName>
  </definedNames>
  <calcPr calcId="152511"/>
</workbook>
</file>

<file path=xl/calcChain.xml><?xml version="1.0" encoding="utf-8"?>
<calcChain xmlns="http://schemas.openxmlformats.org/spreadsheetml/2006/main">
  <c r="F3" i="4" l="1"/>
  <c r="F4" i="4"/>
  <c r="F5" i="4"/>
  <c r="L5" i="4" s="1"/>
  <c r="F6" i="4"/>
  <c r="L6" i="4" s="1"/>
  <c r="F7" i="4"/>
  <c r="F8" i="4"/>
  <c r="F9" i="4"/>
  <c r="L9" i="4" s="1"/>
  <c r="F10" i="4"/>
  <c r="L10" i="4" s="1"/>
  <c r="F11" i="4"/>
  <c r="F12" i="4"/>
  <c r="F13" i="4"/>
  <c r="L13" i="4" s="1"/>
  <c r="F14" i="4"/>
  <c r="L14" i="4" s="1"/>
  <c r="F15" i="4"/>
  <c r="F16" i="4"/>
  <c r="F17" i="4"/>
  <c r="L17" i="4" s="1"/>
  <c r="F18" i="4"/>
  <c r="L18" i="4" s="1"/>
  <c r="F19" i="4"/>
  <c r="F20" i="4"/>
  <c r="F21" i="4"/>
  <c r="L21" i="4" s="1"/>
  <c r="F22" i="4"/>
  <c r="L22" i="4" s="1"/>
  <c r="F23" i="4"/>
  <c r="F24" i="4"/>
  <c r="F25" i="4"/>
  <c r="L25" i="4" s="1"/>
  <c r="F26" i="4"/>
  <c r="L26" i="4" s="1"/>
  <c r="F27" i="4"/>
  <c r="F28" i="4"/>
  <c r="F29" i="4"/>
  <c r="L29" i="4" s="1"/>
  <c r="F30" i="4"/>
  <c r="L30" i="4" s="1"/>
  <c r="F31" i="4"/>
  <c r="F2" i="4"/>
  <c r="L2" i="4" s="1"/>
  <c r="L3" i="4"/>
  <c r="L4" i="4"/>
  <c r="L7" i="4"/>
  <c r="L8" i="4"/>
  <c r="L11" i="4"/>
  <c r="L12" i="4"/>
  <c r="L15" i="4"/>
  <c r="L16" i="4"/>
  <c r="L19" i="4"/>
  <c r="L20" i="4"/>
  <c r="L23" i="4"/>
  <c r="L24" i="4"/>
  <c r="L27" i="4"/>
  <c r="L28" i="4"/>
  <c r="L31" i="4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</calcChain>
</file>

<file path=xl/sharedStrings.xml><?xml version="1.0" encoding="utf-8"?>
<sst xmlns="http://schemas.openxmlformats.org/spreadsheetml/2006/main" count="412" uniqueCount="129">
  <si>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</si>
  <si>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</si>
  <si>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</si>
  <si>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</si>
  <si>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</si>
  <si>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</si>
  <si>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</si>
  <si>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</si>
  <si>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</si>
  <si>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</si>
  <si>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</si>
  <si>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</si>
  <si>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</si>
  <si>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</si>
  <si>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</si>
  <si>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</si>
  <si>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</si>
  <si>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</si>
  <si>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</si>
  <si>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</si>
  <si>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</si>
  <si>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</si>
  <si>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</si>
  <si>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</si>
  <si>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</si>
  <si>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</si>
  <si>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</si>
  <si>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</si>
  <si>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</si>
  <si>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</si>
  <si>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</si>
  <si>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</si>
  <si>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</si>
  <si>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</si>
  <si>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</si>
  <si>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</si>
  <si>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</si>
  <si>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</si>
  <si>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</si>
  <si>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</si>
  <si>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</si>
  <si>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</si>
  <si>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</si>
  <si>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</si>
  <si>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</si>
  <si>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</si>
  <si>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</si>
  <si>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</si>
  <si>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</si>
  <si>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</si>
  <si>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</si>
  <si>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</si>
  <si>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</si>
  <si>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</si>
  <si>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</si>
  <si>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</si>
  <si>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</si>
  <si>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</si>
  <si>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</si>
  <si>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</si>
  <si>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</si>
  <si>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</si>
  <si>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</si>
  <si>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</si>
  <si>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</si>
  <si>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</si>
  <si>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</si>
  <si>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</si>
  <si>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</si>
  <si>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</si>
  <si>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</si>
  <si>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</si>
  <si>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</si>
  <si>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</si>
  <si>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</si>
  <si>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</si>
  <si>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</si>
  <si>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</si>
  <si>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</si>
  <si>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</si>
  <si>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</si>
  <si>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</si>
  <si>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</si>
  <si>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</si>
  <si>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</si>
  <si>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</si>
  <si>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</si>
  <si>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</si>
  <si>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</si>
  <si>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</si>
  <si>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</si>
  <si>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</si>
  <si>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</si>
  <si>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</si>
  <si>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</si>
  <si>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</si>
  <si>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</si>
  <si>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</si>
  <si>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</si>
  <si>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</si>
  <si>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</si>
  <si>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</si>
  <si>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</si>
  <si>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</si>
  <si>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</si>
  <si>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rate_date</t>
  </si>
  <si>
    <t>usd_rate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</si>
  <si>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</si>
  <si>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</si>
  <si>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</si>
  <si>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</si>
  <si>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</si>
  <si>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</si>
  <si>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</si>
  <si>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</si>
  <si>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</si>
  <si>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</si>
  <si>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</si>
  <si>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</si>
  <si>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</si>
  <si>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</si>
  <si>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</si>
  <si>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</si>
  <si>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</si>
  <si>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</si>
  <si>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</si>
  <si>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amount_USD</t>
  </si>
  <si>
    <t xml:space="preserve">high value flag </t>
  </si>
  <si>
    <t xml:space="preserve">high risk flag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</si>
</sst>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F1" sqref="F1"/>
    </sheetView>
  </sheetViews>
  <sheetFormatPr defaultRowHeight="15" x14ac:dyDescent="0.25"/>
  <cols>
    <col min="1" max="1" width="13.7109375" bestFit="1" customWidth="1"/>
    <col min="2" max="2" width="16" bestFit="1" customWidth="1"/>
    <col min="3" max="3" width="15.5703125" bestFit="1" customWidth="1"/>
    <col min="4" max="4" width="12.140625" bestFit="1" customWidth="1"/>
    <col min="6" max="6" width="19.28515625" bestFit="1" customWidth="1"/>
    <col min="7" max="7" width="9.85546875" bestFit="1" customWidth="1"/>
    <col min="8" max="8" width="15.28515625" bestFit="1" customWidth="1"/>
    <col min="10" max="10" width="1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</row>
    <row r="4" spans="1:10" x14ac:dyDescent="0.25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</row>
    <row r="5" spans="1:10" x14ac:dyDescent="0.25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</row>
    <row r="6" spans="1:10" x14ac:dyDescent="0.25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</row>
    <row r="7" spans="1:10" x14ac:dyDescent="0.25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</row>
    <row r="8" spans="1:10" x14ac:dyDescent="0.25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</row>
    <row r="9" spans="1:10" x14ac:dyDescent="0.25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</row>
    <row r="10" spans="1:10" x14ac:dyDescent="0.25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</row>
    <row r="11" spans="1:10" x14ac:dyDescent="0.25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</row>
    <row r="12" spans="1:10" x14ac:dyDescent="0.25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</row>
    <row r="13" spans="1:10" x14ac:dyDescent="0.25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</row>
    <row r="14" spans="1:10" x14ac:dyDescent="0.25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</row>
    <row r="15" spans="1:10" x14ac:dyDescent="0.25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</row>
    <row r="16" spans="1:10" x14ac:dyDescent="0.25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</row>
    <row r="17" spans="1:10" x14ac:dyDescent="0.25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</row>
    <row r="18" spans="1:10" x14ac:dyDescent="0.25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</row>
    <row r="19" spans="1:10" x14ac:dyDescent="0.25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</row>
    <row r="20" spans="1:10" x14ac:dyDescent="0.25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</row>
    <row r="21" spans="1:10" x14ac:dyDescent="0.25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</row>
    <row r="22" spans="1:10" x14ac:dyDescent="0.25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</row>
    <row r="23" spans="1:10" x14ac:dyDescent="0.25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</row>
    <row r="24" spans="1:10" x14ac:dyDescent="0.25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</row>
    <row r="25" spans="1:10" x14ac:dyDescent="0.25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</row>
    <row r="26" spans="1:10" x14ac:dyDescent="0.25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</row>
    <row r="27" spans="1:10" x14ac:dyDescent="0.25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</row>
    <row r="28" spans="1:10" x14ac:dyDescent="0.25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</row>
    <row r="29" spans="1:10" x14ac:dyDescent="0.25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</row>
    <row r="30" spans="1:10" x14ac:dyDescent="0.25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</row>
    <row r="31" spans="1:10" x14ac:dyDescent="0.25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</row>
  </sheetData>
  <autoFilter ref="A1:J3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G6" sqref="G6"/>
    </sheetView>
  </sheetViews>
  <sheetFormatPr defaultRowHeight="15" x14ac:dyDescent="0.25"/>
  <cols>
    <col min="1" max="1" width="13.7109375" bestFit="1" customWidth="1"/>
    <col min="2" max="2" width="16" bestFit="1" customWidth="1"/>
    <col min="3" max="3" width="15.5703125" bestFit="1" customWidth="1"/>
    <col min="6" max="6" width="14.7109375" bestFit="1" customWidth="1"/>
    <col min="7" max="7" width="19.28515625" bestFit="1" customWidth="1"/>
    <col min="8" max="8" width="9.85546875" bestFit="1" customWidth="1"/>
    <col min="9" max="9" width="15.28515625" bestFit="1" customWidth="1"/>
    <col min="11" max="11" width="17" bestFit="1" customWidth="1"/>
    <col min="12" max="12" width="14.42578125" bestFit="1" customWidth="1"/>
    <col min="13" max="13" width="1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127</v>
      </c>
      <c r="M1" t="s">
        <v>128</v>
      </c>
    </row>
    <row r="2" spans="1:13" x14ac:dyDescent="0.25">
      <c r="A2" t="s">
        <v>10</v>
      </c>
      <c r="B2" s="1" t="str">
        <f>TEXT(transaction_raw!B2, "yyyy/mm/dd")</f>
        <v>2026/03/01</v>
      </c>
      <c r="C2" t="str">
        <f>PROPER(TRIM(transaction_raw!C2))</f>
        <v>Alpha Mart</v>
      </c>
      <c r="D2">
        <v>420000</v>
      </c>
      <c r="E2" t="s">
        <v>12</v>
      </c>
      <c r="F2" s="3">
        <f>D2 * SUMIFS(exchange_rates!$C$2:$C$19, exchange_rates!$A$2:$A$19, transaction_cleaned!B2, exchange_rates!$B$2:$B$19, transaction_cleaned!E2)</f>
        <v>4998</v>
      </c>
      <c r="G2" t="str">
        <f>IF(COUNTIF(transaction_raw!F2, "*chargeback*"), "chargeback", IF(COUNTIF(transaction_raw!F2, "*fail*"), "failed", "captured"))</f>
        <v>captured</v>
      </c>
      <c r="H2" s="2">
        <f>IF(transaction_raw!G2="", "blank", IF(ISNUMBER(transaction_raw!G2), transaction_raw!G2, VALUE(RIGHT(transaction_raw!G2, 2))))</f>
        <v>62</v>
      </c>
      <c r="I2" t="str">
        <f>IF(transaction_raw!H2 = "", "blank", TRIM(UPPER(transaction_raw!H2)))</f>
        <v>APAC</v>
      </c>
      <c r="J2" t="s">
        <v>16</v>
      </c>
      <c r="K2" t="s">
        <v>17</v>
      </c>
      <c r="L2">
        <f>IF(AND(I2="APAC", F2&gt;5000), 1, IF(AND(I2="AU", F2&gt;6000), 1, IF(AND(I2="US", F2&gt;7000), 1, 0)))</f>
        <v>0</v>
      </c>
      <c r="M2">
        <f>IF(OR(H2&gt;=70, ISNUMBER(SEARCH("chargeback", G2))), 1, 0)</f>
        <v>0</v>
      </c>
    </row>
    <row r="3" spans="1:13" x14ac:dyDescent="0.25">
      <c r="A3" t="s">
        <v>18</v>
      </c>
      <c r="B3" s="1" t="str">
        <f>TEXT(transaction_raw!B3, "yyyy/mm/dd")</f>
        <v>2026/03/01</v>
      </c>
      <c r="C3" t="str">
        <f>PROPER(TRIM(transaction_raw!C3))</f>
        <v>Alpha Mart</v>
      </c>
      <c r="D3">
        <v>210000</v>
      </c>
      <c r="E3" t="s">
        <v>12</v>
      </c>
      <c r="F3" s="3">
        <f>D3 * SUMIFS(exchange_rates!$C$2:$C$19, exchange_rates!$A$2:$A$19, transaction_cleaned!B3, exchange_rates!$B$2:$B$19, transaction_cleaned!E3)</f>
        <v>2499</v>
      </c>
      <c r="G3" t="str">
        <f>IF(COUNTIF(transaction_raw!F3, "*chargeback*"), "chargeback", IF(COUNTIF(transaction_raw!F3, "*fail*"), "failed", "captured"))</f>
        <v>captured</v>
      </c>
      <c r="H3" s="2">
        <f>IF(transaction_raw!G3="", "blank", IF(ISNUMBER(transaction_raw!G3), transaction_raw!G3, VALUE(RIGHT(transaction_raw!G3, 2))))</f>
        <v>55</v>
      </c>
      <c r="I3" t="str">
        <f>IF(transaction_raw!H3 = "", "blank", TRIM(UPPER(transaction_raw!H3)))</f>
        <v>blank</v>
      </c>
      <c r="J3" t="s">
        <v>21</v>
      </c>
      <c r="K3" t="s">
        <v>22</v>
      </c>
      <c r="L3">
        <f t="shared" ref="L3:L31" si="0">IF(AND(I3="APAC", F3&gt;5000), 1, IF(AND(I3="AU", F3&gt;6000), 1, IF(AND(I3="US", F3&gt;7000), 1, 0)))</f>
        <v>0</v>
      </c>
      <c r="M3">
        <f t="shared" ref="M3:M31" si="1">IF(OR(H3&gt;=70, ISNUMBER(SEARCH("chargeback", G3))), 1, 0)</f>
        <v>0</v>
      </c>
    </row>
    <row r="4" spans="1:13" x14ac:dyDescent="0.25">
      <c r="A4" t="s">
        <v>23</v>
      </c>
      <c r="B4" s="1" t="str">
        <f>TEXT(transaction_raw!B4, "yyyy/mm/dd")</f>
        <v>2026/03/01</v>
      </c>
      <c r="C4" t="str">
        <f>PROPER(TRIM(transaction_raw!C4))</f>
        <v>Beta Stores</v>
      </c>
      <c r="D4">
        <v>510000</v>
      </c>
      <c r="E4" t="s">
        <v>12</v>
      </c>
      <c r="F4" s="3">
        <f>D4 * SUMIFS(exchange_rates!$C$2:$C$19, exchange_rates!$A$2:$A$19, transaction_cleaned!B4, exchange_rates!$B$2:$B$19, transaction_cleaned!E4)</f>
        <v>6069</v>
      </c>
      <c r="G4" t="str">
        <f>IF(COUNTIF(transaction_raw!F4, "*chargeback*"), "chargeback", IF(COUNTIF(transaction_raw!F4, "*fail*"), "failed", "captured"))</f>
        <v>captured</v>
      </c>
      <c r="H4" s="2">
        <f>IF(transaction_raw!G4="", "blank", IF(ISNUMBER(transaction_raw!G4), transaction_raw!G4, VALUE(RIGHT(transaction_raw!G4, 2))))</f>
        <v>71</v>
      </c>
      <c r="I4" t="str">
        <f>IF(transaction_raw!H4 = "", "blank", TRIM(UPPER(transaction_raw!H4)))</f>
        <v>APAC</v>
      </c>
      <c r="J4" t="s">
        <v>27</v>
      </c>
      <c r="K4" t="s">
        <v>28</v>
      </c>
      <c r="L4">
        <f t="shared" si="0"/>
        <v>1</v>
      </c>
      <c r="M4">
        <f t="shared" si="1"/>
        <v>1</v>
      </c>
    </row>
    <row r="5" spans="1:13" x14ac:dyDescent="0.25">
      <c r="A5" t="s">
        <v>29</v>
      </c>
      <c r="B5" s="1" t="str">
        <f>TEXT(transaction_raw!B5, "yyyy/mm/dd")</f>
        <v>2026/03/02</v>
      </c>
      <c r="C5" t="str">
        <f>PROPER(TRIM(transaction_raw!C5))</f>
        <v>Beta Stores</v>
      </c>
      <c r="D5">
        <v>160000</v>
      </c>
      <c r="E5" t="s">
        <v>12</v>
      </c>
      <c r="F5" s="3">
        <f>D5 * SUMIFS(exchange_rates!$C$2:$C$19, exchange_rates!$A$2:$A$19, transaction_cleaned!B5, exchange_rates!$B$2:$B$19, transaction_cleaned!E5)</f>
        <v>1920</v>
      </c>
      <c r="G5" t="str">
        <f>IF(COUNTIF(transaction_raw!F5, "*chargeback*"), "chargeback", IF(COUNTIF(transaction_raw!F5, "*fail*"), "failed", "captured"))</f>
        <v>failed</v>
      </c>
      <c r="H5" s="2">
        <f>IF(transaction_raw!G5="", "blank", IF(ISNUMBER(transaction_raw!G5), transaction_raw!G5, VALUE(RIGHT(transaction_raw!G5, 2))))</f>
        <v>68</v>
      </c>
      <c r="I5" t="str">
        <f>IF(transaction_raw!H5 = "", "blank", TRIM(UPPER(transaction_raw!H5)))</f>
        <v>APAC</v>
      </c>
      <c r="J5" t="s">
        <v>33</v>
      </c>
      <c r="K5" t="s">
        <v>22</v>
      </c>
      <c r="L5">
        <f t="shared" si="0"/>
        <v>0</v>
      </c>
      <c r="M5">
        <f t="shared" si="1"/>
        <v>0</v>
      </c>
    </row>
    <row r="6" spans="1:13" x14ac:dyDescent="0.25">
      <c r="A6" t="s">
        <v>34</v>
      </c>
      <c r="B6" s="1" t="str">
        <f>TEXT(transaction_raw!B6, "yyyy/mm/dd")</f>
        <v>2026/03/02</v>
      </c>
      <c r="C6" t="str">
        <f>PROPER(TRIM(transaction_raw!C6))</f>
        <v>Alpha Mart</v>
      </c>
      <c r="D6">
        <v>390000</v>
      </c>
      <c r="E6" t="s">
        <v>12</v>
      </c>
      <c r="F6" s="3">
        <f>D6 * SUMIFS(exchange_rates!$C$2:$C$19, exchange_rates!$A$2:$A$19, transaction_cleaned!B6, exchange_rates!$B$2:$B$19, transaction_cleaned!E6)</f>
        <v>4680</v>
      </c>
      <c r="G6" t="str">
        <f>IF(COUNTIF(transaction_raw!F6, "*chargeback*"), "chargeback", IF(COUNTIF(transaction_raw!F6, "*fail*"), "failed", "captured"))</f>
        <v>captured</v>
      </c>
      <c r="H6" s="2">
        <f>IF(transaction_raw!G6="", "blank", IF(ISNUMBER(transaction_raw!G6), transaction_raw!G6, VALUE(RIGHT(transaction_raw!G6, 2))))</f>
        <v>58</v>
      </c>
      <c r="I6" t="str">
        <f>IF(transaction_raw!H6 = "", "blank", TRIM(UPPER(transaction_raw!H6)))</f>
        <v>blank</v>
      </c>
      <c r="J6" t="s">
        <v>16</v>
      </c>
      <c r="K6" t="s">
        <v>17</v>
      </c>
      <c r="L6">
        <f t="shared" si="0"/>
        <v>0</v>
      </c>
      <c r="M6">
        <f t="shared" si="1"/>
        <v>0</v>
      </c>
    </row>
    <row r="7" spans="1:13" x14ac:dyDescent="0.25">
      <c r="A7" t="s">
        <v>36</v>
      </c>
      <c r="B7" s="1" t="str">
        <f>TEXT(transaction_raw!B7, "yyyy/mm/dd")</f>
        <v>2026/03/02</v>
      </c>
      <c r="C7" t="str">
        <f>PROPER(TRIM(transaction_raw!C7))</f>
        <v>Beta Stores</v>
      </c>
      <c r="D7">
        <v>275000</v>
      </c>
      <c r="E7" t="s">
        <v>12</v>
      </c>
      <c r="F7" s="3">
        <f>D7 * SUMIFS(exchange_rates!$C$2:$C$19, exchange_rates!$A$2:$A$19, transaction_cleaned!B7, exchange_rates!$B$2:$B$19, transaction_cleaned!E7)</f>
        <v>3300</v>
      </c>
      <c r="G7" t="str">
        <f>IF(COUNTIF(transaction_raw!F7, "*chargeback*"), "chargeback", IF(COUNTIF(transaction_raw!F7, "*fail*"), "failed", "captured"))</f>
        <v>captured</v>
      </c>
      <c r="H7" s="2">
        <f>IF(transaction_raw!G7="", "blank", IF(ISNUMBER(transaction_raw!G7), transaction_raw!G7, VALUE(RIGHT(transaction_raw!G7, 2))))</f>
        <v>64</v>
      </c>
      <c r="I7" t="str">
        <f>IF(transaction_raw!H7 = "", "blank", TRIM(UPPER(transaction_raw!H7)))</f>
        <v>blank</v>
      </c>
      <c r="J7" t="s">
        <v>38</v>
      </c>
      <c r="K7" t="s">
        <v>39</v>
      </c>
      <c r="L7">
        <f t="shared" si="0"/>
        <v>0</v>
      </c>
      <c r="M7">
        <f t="shared" si="1"/>
        <v>0</v>
      </c>
    </row>
    <row r="8" spans="1:13" x14ac:dyDescent="0.25">
      <c r="A8" t="s">
        <v>40</v>
      </c>
      <c r="B8" s="1" t="str">
        <f>TEXT(transaction_raw!B8, "yyyy/mm/dd")</f>
        <v>2026/03/02</v>
      </c>
      <c r="C8" t="str">
        <f>PROPER(TRIM(transaction_raw!C8))</f>
        <v>Alpha Mart</v>
      </c>
      <c r="D8">
        <v>450000</v>
      </c>
      <c r="E8" t="s">
        <v>12</v>
      </c>
      <c r="F8" s="3">
        <f>D8 * SUMIFS(exchange_rates!$C$2:$C$19, exchange_rates!$A$2:$A$19, transaction_cleaned!B8, exchange_rates!$B$2:$B$19, transaction_cleaned!E8)</f>
        <v>5400</v>
      </c>
      <c r="G8" t="str">
        <f>IF(COUNTIF(transaction_raw!F8, "*chargeback*"), "chargeback", IF(COUNTIF(transaction_raw!F8, "*fail*"), "failed", "captured"))</f>
        <v>chargeback</v>
      </c>
      <c r="H8" s="2">
        <f>IF(transaction_raw!G8="", "blank", IF(ISNUMBER(transaction_raw!G8), transaction_raw!G8, VALUE(RIGHT(transaction_raw!G8, 2))))</f>
        <v>83</v>
      </c>
      <c r="I8" t="str">
        <f>IF(transaction_raw!H8 = "", "blank", TRIM(UPPER(transaction_raw!H8)))</f>
        <v>APAC</v>
      </c>
      <c r="J8" t="s">
        <v>44</v>
      </c>
      <c r="K8" t="s">
        <v>22</v>
      </c>
      <c r="L8">
        <f t="shared" si="0"/>
        <v>1</v>
      </c>
      <c r="M8">
        <f t="shared" si="1"/>
        <v>1</v>
      </c>
    </row>
    <row r="9" spans="1:13" x14ac:dyDescent="0.25">
      <c r="A9" t="s">
        <v>45</v>
      </c>
      <c r="B9" s="1" t="str">
        <f>TEXT(transaction_raw!B9, "yyyy/mm/dd")</f>
        <v>2026/03/03</v>
      </c>
      <c r="C9" t="str">
        <f>PROPER(TRIM(transaction_raw!C9))</f>
        <v>Beta Stores</v>
      </c>
      <c r="D9">
        <v>340000</v>
      </c>
      <c r="E9" t="s">
        <v>12</v>
      </c>
      <c r="F9" s="3">
        <f>D9 * SUMIFS(exchange_rates!$C$2:$C$19, exchange_rates!$A$2:$A$19, transaction_cleaned!B9, exchange_rates!$B$2:$B$19, transaction_cleaned!E9)</f>
        <v>4114</v>
      </c>
      <c r="G9" t="str">
        <f>IF(COUNTIF(transaction_raw!F9, "*chargeback*"), "chargeback", IF(COUNTIF(transaction_raw!F9, "*fail*"), "failed", "captured"))</f>
        <v>captured</v>
      </c>
      <c r="H9" s="2">
        <f>IF(transaction_raw!G9="", "blank", IF(ISNUMBER(transaction_raw!G9), transaction_raw!G9, VALUE(RIGHT(transaction_raw!G9, 2))))</f>
        <v>59</v>
      </c>
      <c r="I9" t="str">
        <f>IF(transaction_raw!H9 = "", "blank", TRIM(UPPER(transaction_raw!H9)))</f>
        <v>blank</v>
      </c>
      <c r="J9" t="s">
        <v>46</v>
      </c>
      <c r="K9" t="s">
        <v>17</v>
      </c>
      <c r="L9">
        <f t="shared" si="0"/>
        <v>0</v>
      </c>
      <c r="M9">
        <f t="shared" si="1"/>
        <v>0</v>
      </c>
    </row>
    <row r="10" spans="1:13" x14ac:dyDescent="0.25">
      <c r="A10" t="s">
        <v>47</v>
      </c>
      <c r="B10" s="1" t="str">
        <f>TEXT(transaction_raw!B10, "yyyy/mm/dd")</f>
        <v>2026/03/03</v>
      </c>
      <c r="C10" t="str">
        <f>PROPER(TRIM(transaction_raw!C10))</f>
        <v>Alpha Mart</v>
      </c>
      <c r="D10">
        <v>125000</v>
      </c>
      <c r="E10" t="s">
        <v>12</v>
      </c>
      <c r="F10" s="3">
        <f>D10 * SUMIFS(exchange_rates!$C$2:$C$19, exchange_rates!$A$2:$A$19, transaction_cleaned!B10, exchange_rates!$B$2:$B$19, transaction_cleaned!E10)</f>
        <v>1512.5</v>
      </c>
      <c r="G10" t="str">
        <f>IF(COUNTIF(transaction_raw!F10, "*chargeback*"), "chargeback", IF(COUNTIF(transaction_raw!F10, "*fail*"), "failed", "captured"))</f>
        <v>captured</v>
      </c>
      <c r="H10" s="2">
        <f>IF(transaction_raw!G10="", "blank", IF(ISNUMBER(transaction_raw!G10), transaction_raw!G10, VALUE(RIGHT(transaction_raw!G10, 2))))</f>
        <v>46</v>
      </c>
      <c r="I10" t="str">
        <f>IF(transaction_raw!H10 = "", "blank", TRIM(UPPER(transaction_raw!H10)))</f>
        <v>APAC</v>
      </c>
      <c r="J10" t="s">
        <v>21</v>
      </c>
      <c r="K10" t="s">
        <v>39</v>
      </c>
      <c r="L10">
        <f t="shared" si="0"/>
        <v>0</v>
      </c>
      <c r="M10">
        <f t="shared" si="1"/>
        <v>0</v>
      </c>
    </row>
    <row r="11" spans="1:13" x14ac:dyDescent="0.25">
      <c r="A11" t="s">
        <v>48</v>
      </c>
      <c r="B11" s="1" t="str">
        <f>TEXT(transaction_raw!B11, "yyyy/mm/dd")</f>
        <v>2026/03/03</v>
      </c>
      <c r="C11" t="str">
        <f>PROPER(TRIM(transaction_raw!C11))</f>
        <v>Beta Stores</v>
      </c>
      <c r="D11">
        <v>610000</v>
      </c>
      <c r="E11" t="s">
        <v>12</v>
      </c>
      <c r="F11" s="3">
        <f>D11 * SUMIFS(exchange_rates!$C$2:$C$19, exchange_rates!$A$2:$A$19, transaction_cleaned!B11, exchange_rates!$B$2:$B$19, transaction_cleaned!E11)</f>
        <v>7381</v>
      </c>
      <c r="G11" t="str">
        <f>IF(COUNTIF(transaction_raw!F11, "*chargeback*"), "chargeback", IF(COUNTIF(transaction_raw!F11, "*fail*"), "failed", "captured"))</f>
        <v>captured</v>
      </c>
      <c r="H11" s="2">
        <f>IF(transaction_raw!G11="", "blank", IF(ISNUMBER(transaction_raw!G11), transaction_raw!G11, VALUE(RIGHT(transaction_raw!G11, 2))))</f>
        <v>77</v>
      </c>
      <c r="I11" t="str">
        <f>IF(transaction_raw!H11 = "", "blank", TRIM(UPPER(transaction_raw!H11)))</f>
        <v>blank</v>
      </c>
      <c r="J11" t="s">
        <v>27</v>
      </c>
      <c r="K11" t="s">
        <v>22</v>
      </c>
      <c r="L11">
        <f t="shared" si="0"/>
        <v>0</v>
      </c>
      <c r="M11">
        <f t="shared" si="1"/>
        <v>1</v>
      </c>
    </row>
    <row r="12" spans="1:13" x14ac:dyDescent="0.25">
      <c r="A12" t="s">
        <v>51</v>
      </c>
      <c r="B12" s="1" t="str">
        <f>TEXT(transaction_raw!B12, "yyyy/mm/dd")</f>
        <v>2026/03/03</v>
      </c>
      <c r="C12" t="str">
        <f>PROPER(TRIM(transaction_raw!C12))</f>
        <v>Alpha Mart</v>
      </c>
      <c r="D12">
        <v>195000</v>
      </c>
      <c r="E12" t="s">
        <v>12</v>
      </c>
      <c r="F12" s="3">
        <f>D12 * SUMIFS(exchange_rates!$C$2:$C$19, exchange_rates!$A$2:$A$19, transaction_cleaned!B12, exchange_rates!$B$2:$B$19, transaction_cleaned!E12)</f>
        <v>2359.5</v>
      </c>
      <c r="G12" t="str">
        <f>IF(COUNTIF(transaction_raw!F12, "*chargeback*"), "chargeback", IF(COUNTIF(transaction_raw!F12, "*fail*"), "failed", "captured"))</f>
        <v>failed</v>
      </c>
      <c r="H12" s="2" t="str">
        <f>IF(transaction_raw!G12="", "blank", IF(ISNUMBER(transaction_raw!G12), transaction_raw!G12, VALUE(RIGHT(transaction_raw!G12, 2))))</f>
        <v>blank</v>
      </c>
      <c r="I12" t="str">
        <f>IF(transaction_raw!H12 = "", "blank", TRIM(UPPER(transaction_raw!H12)))</f>
        <v>blank</v>
      </c>
      <c r="J12" t="s">
        <v>53</v>
      </c>
      <c r="K12" t="s">
        <v>17</v>
      </c>
      <c r="L12">
        <f t="shared" si="0"/>
        <v>0</v>
      </c>
      <c r="M12">
        <f t="shared" si="1"/>
        <v>1</v>
      </c>
    </row>
    <row r="13" spans="1:13" x14ac:dyDescent="0.25">
      <c r="A13" t="s">
        <v>54</v>
      </c>
      <c r="B13" s="1" t="str">
        <f>TEXT(transaction_raw!B13, "yyyy/mm/dd")</f>
        <v>2026/03/04</v>
      </c>
      <c r="C13" t="str">
        <f>PROPER(TRIM(transaction_raw!C13))</f>
        <v>Beta Stores</v>
      </c>
      <c r="D13">
        <v>250000</v>
      </c>
      <c r="E13" t="s">
        <v>12</v>
      </c>
      <c r="F13" s="3">
        <f>D13 * SUMIFS(exchange_rates!$C$2:$C$19, exchange_rates!$A$2:$A$19, transaction_cleaned!B13, exchange_rates!$B$2:$B$19, transaction_cleaned!E13)</f>
        <v>3000</v>
      </c>
      <c r="G13" t="str">
        <f>IF(COUNTIF(transaction_raw!F13, "*chargeback*"), "chargeback", IF(COUNTIF(transaction_raw!F13, "*fail*"), "failed", "captured"))</f>
        <v>captured</v>
      </c>
      <c r="H13" s="2">
        <f>IF(transaction_raw!G13="", "blank", IF(ISNUMBER(transaction_raw!G13), transaction_raw!G13, VALUE(RIGHT(transaction_raw!G13, 2))))</f>
        <v>61</v>
      </c>
      <c r="I13" t="str">
        <f>IF(transaction_raw!H13 = "", "blank", TRIM(UPPER(transaction_raw!H13)))</f>
        <v>APAC</v>
      </c>
      <c r="J13" t="s">
        <v>57</v>
      </c>
      <c r="K13" t="s">
        <v>22</v>
      </c>
      <c r="L13">
        <f t="shared" si="0"/>
        <v>0</v>
      </c>
      <c r="M13">
        <f t="shared" si="1"/>
        <v>0</v>
      </c>
    </row>
    <row r="14" spans="1:13" x14ac:dyDescent="0.25">
      <c r="A14" t="s">
        <v>58</v>
      </c>
      <c r="B14" s="1" t="str">
        <f>TEXT(transaction_raw!B14, "yyyy/mm/dd")</f>
        <v>2026/03/04</v>
      </c>
      <c r="C14" t="str">
        <f>PROPER(TRIM(transaction_raw!C14))</f>
        <v>Alpha Mart</v>
      </c>
      <c r="D14">
        <v>310000</v>
      </c>
      <c r="E14" t="s">
        <v>12</v>
      </c>
      <c r="F14" s="3">
        <f>D14 * SUMIFS(exchange_rates!$C$2:$C$19, exchange_rates!$A$2:$A$19, transaction_cleaned!B14, exchange_rates!$B$2:$B$19, transaction_cleaned!E14)</f>
        <v>3720</v>
      </c>
      <c r="G14" t="str">
        <f>IF(COUNTIF(transaction_raw!F14, "*chargeback*"), "chargeback", IF(COUNTIF(transaction_raw!F14, "*fail*"), "failed", "captured"))</f>
        <v>captured</v>
      </c>
      <c r="H14" s="2">
        <f>IF(transaction_raw!G14="", "blank", IF(ISNUMBER(transaction_raw!G14), transaction_raw!G14, VALUE(RIGHT(transaction_raw!G14, 2))))</f>
        <v>54</v>
      </c>
      <c r="I14" t="str">
        <f>IF(transaction_raw!H14 = "", "blank", TRIM(UPPER(transaction_raw!H14)))</f>
        <v>APAC</v>
      </c>
      <c r="J14" t="s">
        <v>60</v>
      </c>
      <c r="K14" t="s">
        <v>17</v>
      </c>
      <c r="L14">
        <f t="shared" si="0"/>
        <v>0</v>
      </c>
      <c r="M14">
        <f t="shared" si="1"/>
        <v>0</v>
      </c>
    </row>
    <row r="15" spans="1:13" x14ac:dyDescent="0.25">
      <c r="A15" t="s">
        <v>61</v>
      </c>
      <c r="B15" s="1" t="str">
        <f>TEXT(transaction_raw!B15, "yyyy/mm/dd")</f>
        <v>2026/03/04</v>
      </c>
      <c r="C15" t="str">
        <f>PROPER(TRIM(transaction_raw!C15))</f>
        <v>Beta Stores</v>
      </c>
      <c r="D15">
        <v>470000</v>
      </c>
      <c r="E15" t="s">
        <v>12</v>
      </c>
      <c r="F15" s="3">
        <f>D15 * SUMIFS(exchange_rates!$C$2:$C$19, exchange_rates!$A$2:$A$19, transaction_cleaned!B15, exchange_rates!$B$2:$B$19, transaction_cleaned!E15)</f>
        <v>5640</v>
      </c>
      <c r="G15" t="str">
        <f>IF(COUNTIF(transaction_raw!F15, "*chargeback*"), "chargeback", IF(COUNTIF(transaction_raw!F15, "*fail*"), "failed", "captured"))</f>
        <v>captured</v>
      </c>
      <c r="H15" s="2">
        <f>IF(transaction_raw!G15="", "blank", IF(ISNUMBER(transaction_raw!G15), transaction_raw!G15, VALUE(RIGHT(transaction_raw!G15, 2))))</f>
        <v>73</v>
      </c>
      <c r="I15" t="str">
        <f>IF(transaction_raw!H15 = "", "blank", TRIM(UPPER(transaction_raw!H15)))</f>
        <v>APAC</v>
      </c>
      <c r="J15" t="s">
        <v>16</v>
      </c>
      <c r="K15" t="s">
        <v>28</v>
      </c>
      <c r="L15">
        <f t="shared" si="0"/>
        <v>1</v>
      </c>
      <c r="M15">
        <f t="shared" si="1"/>
        <v>1</v>
      </c>
    </row>
    <row r="16" spans="1:13" x14ac:dyDescent="0.25">
      <c r="A16" t="s">
        <v>63</v>
      </c>
      <c r="B16" s="1" t="str">
        <f>TEXT(transaction_raw!B16, "yyyy/mm/dd")</f>
        <v>2026/03/04</v>
      </c>
      <c r="C16" t="str">
        <f>PROPER(TRIM(transaction_raw!C16))</f>
        <v>Alpha Mart</v>
      </c>
      <c r="D16">
        <v>130000</v>
      </c>
      <c r="E16" t="s">
        <v>12</v>
      </c>
      <c r="F16" s="3">
        <f>D16 * SUMIFS(exchange_rates!$C$2:$C$19, exchange_rates!$A$2:$A$19, transaction_cleaned!B16, exchange_rates!$B$2:$B$19, transaction_cleaned!E16)</f>
        <v>1560</v>
      </c>
      <c r="G16" t="str">
        <f>IF(COUNTIF(transaction_raw!F16, "*chargeback*"), "chargeback", IF(COUNTIF(transaction_raw!F16, "*fail*"), "failed", "captured"))</f>
        <v>captured</v>
      </c>
      <c r="H16" s="2">
        <f>IF(transaction_raw!G16="", "blank", IF(ISNUMBER(transaction_raw!G16), transaction_raw!G16, VALUE(RIGHT(transaction_raw!G16, 2))))</f>
        <v>52</v>
      </c>
      <c r="I16" t="str">
        <f>IF(transaction_raw!H16 = "", "blank", TRIM(UPPER(transaction_raw!H16)))</f>
        <v>blank</v>
      </c>
      <c r="J16" t="s">
        <v>21</v>
      </c>
      <c r="K16" t="s">
        <v>22</v>
      </c>
      <c r="L16">
        <f t="shared" si="0"/>
        <v>0</v>
      </c>
      <c r="M16">
        <f t="shared" si="1"/>
        <v>0</v>
      </c>
    </row>
    <row r="17" spans="1:13" x14ac:dyDescent="0.25">
      <c r="A17" t="s">
        <v>65</v>
      </c>
      <c r="B17" s="1" t="str">
        <f>TEXT(transaction_raw!B17, "yyyy/mm/dd")</f>
        <v>2026/03/05</v>
      </c>
      <c r="C17" t="str">
        <f>PROPER(TRIM(transaction_raw!C17))</f>
        <v>Beta Stores</v>
      </c>
      <c r="D17">
        <v>220000</v>
      </c>
      <c r="E17" t="s">
        <v>12</v>
      </c>
      <c r="F17" s="3">
        <f>D17 * SUMIFS(exchange_rates!$C$2:$C$19, exchange_rates!$A$2:$A$19, transaction_cleaned!B17, exchange_rates!$B$2:$B$19, transaction_cleaned!E17)</f>
        <v>2596</v>
      </c>
      <c r="G17" t="str">
        <f>IF(COUNTIF(transaction_raw!F17, "*chargeback*"), "chargeback", IF(COUNTIF(transaction_raw!F17, "*fail*"), "failed", "captured"))</f>
        <v>failed</v>
      </c>
      <c r="H17" s="2">
        <f>IF(transaction_raw!G17="", "blank", IF(ISNUMBER(transaction_raw!G17), transaction_raw!G17, VALUE(RIGHT(transaction_raw!G17, 2))))</f>
        <v>69</v>
      </c>
      <c r="I17" t="str">
        <f>IF(transaction_raw!H17 = "", "blank", TRIM(UPPER(transaction_raw!H17)))</f>
        <v>blank</v>
      </c>
      <c r="J17" t="s">
        <v>53</v>
      </c>
      <c r="K17" t="s">
        <v>22</v>
      </c>
      <c r="L17">
        <f t="shared" si="0"/>
        <v>0</v>
      </c>
      <c r="M17">
        <f t="shared" si="1"/>
        <v>0</v>
      </c>
    </row>
    <row r="18" spans="1:13" x14ac:dyDescent="0.25">
      <c r="A18" t="s">
        <v>68</v>
      </c>
      <c r="B18" s="1" t="str">
        <f>TEXT(transaction_raw!B18, "yyyy/mm/dd")</f>
        <v>2026/03/05</v>
      </c>
      <c r="C18" t="str">
        <f>PROPER(TRIM(transaction_raw!C18))</f>
        <v>Beta Stores</v>
      </c>
      <c r="D18">
        <v>180000</v>
      </c>
      <c r="E18" t="s">
        <v>12</v>
      </c>
      <c r="F18" s="3">
        <f>D18 * SUMIFS(exchange_rates!$C$2:$C$19, exchange_rates!$A$2:$A$19, transaction_cleaned!B18, exchange_rates!$B$2:$B$19, transaction_cleaned!E18)</f>
        <v>2124</v>
      </c>
      <c r="G18" t="str">
        <f>IF(COUNTIF(transaction_raw!F18, "*chargeback*"), "chargeback", IF(COUNTIF(transaction_raw!F18, "*fail*"), "failed", "captured"))</f>
        <v>failed</v>
      </c>
      <c r="H18" s="2">
        <f>IF(transaction_raw!G18="", "blank", IF(ISNUMBER(transaction_raw!G18), transaction_raw!G18, VALUE(RIGHT(transaction_raw!G18, 2))))</f>
        <v>72</v>
      </c>
      <c r="I18" t="str">
        <f>IF(transaction_raw!H18 = "", "blank", TRIM(UPPER(transaction_raw!H18)))</f>
        <v>APAC</v>
      </c>
      <c r="J18" t="s">
        <v>53</v>
      </c>
      <c r="K18" t="s">
        <v>22</v>
      </c>
      <c r="L18">
        <f t="shared" si="0"/>
        <v>0</v>
      </c>
      <c r="M18">
        <f t="shared" si="1"/>
        <v>1</v>
      </c>
    </row>
    <row r="19" spans="1:13" x14ac:dyDescent="0.25">
      <c r="A19" t="s">
        <v>71</v>
      </c>
      <c r="B19" s="1" t="str">
        <f>TEXT(transaction_raw!B19, "yyyy/mm/dd")</f>
        <v>2026/03/05</v>
      </c>
      <c r="C19" t="str">
        <f>PROPER(TRIM(transaction_raw!C19))</f>
        <v>Beta Stores</v>
      </c>
      <c r="D19">
        <v>145000</v>
      </c>
      <c r="E19" t="s">
        <v>12</v>
      </c>
      <c r="F19" s="3">
        <f>D19 * SUMIFS(exchange_rates!$C$2:$C$19, exchange_rates!$A$2:$A$19, transaction_cleaned!B19, exchange_rates!$B$2:$B$19, transaction_cleaned!E19)</f>
        <v>1711</v>
      </c>
      <c r="G19" t="str">
        <f>IF(COUNTIF(transaction_raw!F19, "*chargeback*"), "chargeback", IF(COUNTIF(transaction_raw!F19, "*fail*"), "failed", "captured"))</f>
        <v>chargeback</v>
      </c>
      <c r="H19" s="2">
        <f>IF(transaction_raw!G19="", "blank", IF(ISNUMBER(transaction_raw!G19), transaction_raw!G19, VALUE(RIGHT(transaction_raw!G19, 2))))</f>
        <v>86</v>
      </c>
      <c r="I19" t="str">
        <f>IF(transaction_raw!H19 = "", "blank", TRIM(UPPER(transaction_raw!H19)))</f>
        <v>APAC</v>
      </c>
      <c r="J19" t="s">
        <v>53</v>
      </c>
      <c r="K19" t="s">
        <v>17</v>
      </c>
      <c r="L19">
        <f t="shared" si="0"/>
        <v>0</v>
      </c>
      <c r="M19">
        <f t="shared" si="1"/>
        <v>1</v>
      </c>
    </row>
    <row r="20" spans="1:13" x14ac:dyDescent="0.25">
      <c r="A20" t="s">
        <v>74</v>
      </c>
      <c r="B20" s="1" t="str">
        <f>TEXT(transaction_raw!B20, "yyyy/mm/dd")</f>
        <v>2026/03/05</v>
      </c>
      <c r="C20" t="str">
        <f>PROPER(TRIM(transaction_raw!C20))</f>
        <v>Alpha Mart</v>
      </c>
      <c r="D20">
        <v>260000</v>
      </c>
      <c r="E20" t="s">
        <v>12</v>
      </c>
      <c r="F20" s="3">
        <f>D20 * SUMIFS(exchange_rates!$C$2:$C$19, exchange_rates!$A$2:$A$19, transaction_cleaned!B20, exchange_rates!$B$2:$B$19, transaction_cleaned!E20)</f>
        <v>3068</v>
      </c>
      <c r="G20" t="str">
        <f>IF(COUNTIF(transaction_raw!F20, "*chargeback*"), "chargeback", IF(COUNTIF(transaction_raw!F20, "*fail*"), "failed", "captured"))</f>
        <v>failed</v>
      </c>
      <c r="H20" s="2">
        <f>IF(transaction_raw!G20="", "blank", IF(ISNUMBER(transaction_raw!G20), transaction_raw!G20, VALUE(RIGHT(transaction_raw!G20, 2))))</f>
        <v>67</v>
      </c>
      <c r="I20" t="str">
        <f>IF(transaction_raw!H20 = "", "blank", TRIM(UPPER(transaction_raw!H20)))</f>
        <v>APAC</v>
      </c>
      <c r="J20" t="s">
        <v>53</v>
      </c>
      <c r="K20" t="s">
        <v>39</v>
      </c>
      <c r="L20">
        <f t="shared" si="0"/>
        <v>0</v>
      </c>
      <c r="M20">
        <f t="shared" si="1"/>
        <v>0</v>
      </c>
    </row>
    <row r="21" spans="1:13" x14ac:dyDescent="0.25">
      <c r="A21" t="s">
        <v>76</v>
      </c>
      <c r="B21" s="1" t="str">
        <f>TEXT(transaction_raw!B21, "yyyy/mm/dd")</f>
        <v>2026/03/05</v>
      </c>
      <c r="C21" t="str">
        <f>PROPER(TRIM(transaction_raw!C21))</f>
        <v>Alpha Mart</v>
      </c>
      <c r="D21">
        <v>520000</v>
      </c>
      <c r="E21" t="s">
        <v>12</v>
      </c>
      <c r="F21" s="3">
        <f>D21 * SUMIFS(exchange_rates!$C$2:$C$19, exchange_rates!$A$2:$A$19, transaction_cleaned!B21, exchange_rates!$B$2:$B$19, transaction_cleaned!E21)</f>
        <v>6136</v>
      </c>
      <c r="G21" t="str">
        <f>IF(COUNTIF(transaction_raw!F21, "*chargeback*"), "chargeback", IF(COUNTIF(transaction_raw!F21, "*fail*"), "failed", "captured"))</f>
        <v>captured</v>
      </c>
      <c r="H21" s="2">
        <f>IF(transaction_raw!G21="", "blank", IF(ISNUMBER(transaction_raw!G21), transaction_raw!G21, VALUE(RIGHT(transaction_raw!G21, 2))))</f>
        <v>75</v>
      </c>
      <c r="I21" t="str">
        <f>IF(transaction_raw!H21 = "", "blank", TRIM(UPPER(transaction_raw!H21)))</f>
        <v>APAC</v>
      </c>
      <c r="J21" t="s">
        <v>38</v>
      </c>
      <c r="K21" t="s">
        <v>17</v>
      </c>
      <c r="L21">
        <f t="shared" si="0"/>
        <v>1</v>
      </c>
      <c r="M21">
        <f t="shared" si="1"/>
        <v>1</v>
      </c>
    </row>
    <row r="22" spans="1:13" x14ac:dyDescent="0.25">
      <c r="A22" t="s">
        <v>77</v>
      </c>
      <c r="B22" s="1" t="str">
        <f>TEXT(transaction_raw!B22, "yyyy/mm/dd")</f>
        <v>2026/03/06</v>
      </c>
      <c r="C22" t="str">
        <f>PROPER(TRIM(transaction_raw!C22))</f>
        <v>Beta Stores</v>
      </c>
      <c r="D22">
        <v>330000</v>
      </c>
      <c r="E22" t="s">
        <v>12</v>
      </c>
      <c r="F22" s="3">
        <f>D22 * SUMIFS(exchange_rates!$C$2:$C$19, exchange_rates!$A$2:$A$19, transaction_cleaned!B22, exchange_rates!$B$2:$B$19, transaction_cleaned!E22)</f>
        <v>3927.0000000000005</v>
      </c>
      <c r="G22" t="str">
        <f>IF(COUNTIF(transaction_raw!F22, "*chargeback*"), "chargeback", IF(COUNTIF(transaction_raw!F22, "*fail*"), "failed", "captured"))</f>
        <v>captured</v>
      </c>
      <c r="H22" s="2">
        <f>IF(transaction_raw!G22="", "blank", IF(ISNUMBER(transaction_raw!G22), transaction_raw!G22, VALUE(RIGHT(transaction_raw!G22, 2))))</f>
        <v>63</v>
      </c>
      <c r="I22" t="str">
        <f>IF(transaction_raw!H22 = "", "blank", TRIM(UPPER(transaction_raw!H22)))</f>
        <v>blank</v>
      </c>
      <c r="J22" t="s">
        <v>44</v>
      </c>
      <c r="K22" t="s">
        <v>22</v>
      </c>
      <c r="L22">
        <f t="shared" si="0"/>
        <v>0</v>
      </c>
      <c r="M22">
        <f t="shared" si="1"/>
        <v>0</v>
      </c>
    </row>
    <row r="23" spans="1:13" x14ac:dyDescent="0.25">
      <c r="A23" t="s">
        <v>80</v>
      </c>
      <c r="B23" s="1" t="str">
        <f>TEXT(transaction_raw!B23, "yyyy/mm/dd")</f>
        <v>2026/03/06</v>
      </c>
      <c r="C23" t="str">
        <f>PROPER(TRIM(transaction_raw!C23))</f>
        <v>Alpha Mart</v>
      </c>
      <c r="D23">
        <v>410000</v>
      </c>
      <c r="E23" t="s">
        <v>12</v>
      </c>
      <c r="F23" s="3">
        <f>D23 * SUMIFS(exchange_rates!$C$2:$C$19, exchange_rates!$A$2:$A$19, transaction_cleaned!B23, exchange_rates!$B$2:$B$19, transaction_cleaned!E23)</f>
        <v>4879</v>
      </c>
      <c r="G23" t="str">
        <f>IF(COUNTIF(transaction_raw!F23, "*chargeback*"), "chargeback", IF(COUNTIF(transaction_raw!F23, "*fail*"), "failed", "captured"))</f>
        <v>captured</v>
      </c>
      <c r="H23" s="2">
        <f>IF(transaction_raw!G23="", "blank", IF(ISNUMBER(transaction_raw!G23), transaction_raw!G23, VALUE(RIGHT(transaction_raw!G23, 2))))</f>
        <v>60</v>
      </c>
      <c r="I23" t="str">
        <f>IF(transaction_raw!H23 = "", "blank", TRIM(UPPER(transaction_raw!H23)))</f>
        <v>APAC</v>
      </c>
      <c r="J23" t="s">
        <v>46</v>
      </c>
      <c r="K23" t="s">
        <v>17</v>
      </c>
      <c r="L23">
        <f t="shared" si="0"/>
        <v>0</v>
      </c>
      <c r="M23">
        <f t="shared" si="1"/>
        <v>0</v>
      </c>
    </row>
    <row r="24" spans="1:13" x14ac:dyDescent="0.25">
      <c r="A24" t="s">
        <v>81</v>
      </c>
      <c r="B24" s="1" t="str">
        <f>TEXT(transaction_raw!B24, "yyyy/mm/dd")</f>
        <v>2026/03/01</v>
      </c>
      <c r="C24" t="str">
        <f>PROPER(TRIM(transaction_raw!C24))</f>
        <v>City Pharma</v>
      </c>
      <c r="D24">
        <v>5200</v>
      </c>
      <c r="E24" t="s">
        <v>83</v>
      </c>
      <c r="F24" s="3">
        <f>D24 * SUMIFS(exchange_rates!$C$2:$C$19, exchange_rates!$A$2:$A$19, transaction_cleaned!B24, exchange_rates!$B$2:$B$19, transaction_cleaned!E24)</f>
        <v>5616</v>
      </c>
      <c r="G24" t="str">
        <f>IF(COUNTIF(transaction_raw!F24, "*chargeback*"), "chargeback", IF(COUNTIF(transaction_raw!F24, "*fail*"), "failed", "captured"))</f>
        <v>captured</v>
      </c>
      <c r="H24" s="2">
        <f>IF(transaction_raw!G24="", "blank", IF(ISNUMBER(transaction_raw!G24), transaction_raw!G24, VALUE(RIGHT(transaction_raw!G24, 2))))</f>
        <v>42</v>
      </c>
      <c r="I24" t="str">
        <f>IF(transaction_raw!H24 = "", "blank", TRIM(UPPER(transaction_raw!H24)))</f>
        <v>EU</v>
      </c>
      <c r="J24" t="s">
        <v>27</v>
      </c>
      <c r="K24" t="s">
        <v>22</v>
      </c>
      <c r="L24">
        <f t="shared" si="0"/>
        <v>0</v>
      </c>
      <c r="M24">
        <f t="shared" si="1"/>
        <v>0</v>
      </c>
    </row>
    <row r="25" spans="1:13" x14ac:dyDescent="0.25">
      <c r="A25" t="s">
        <v>85</v>
      </c>
      <c r="B25" s="1" t="str">
        <f>TEXT(transaction_raw!B25, "yyyy/mm/dd")</f>
        <v>2026/03/02</v>
      </c>
      <c r="C25" t="str">
        <f>PROPER(TRIM(transaction_raw!C25))</f>
        <v>Eco Home</v>
      </c>
      <c r="D25">
        <v>6100</v>
      </c>
      <c r="E25" t="s">
        <v>83</v>
      </c>
      <c r="F25" s="3">
        <f>D25 * SUMIFS(exchange_rates!$C$2:$C$19, exchange_rates!$A$2:$A$19, transaction_cleaned!B25, exchange_rates!$B$2:$B$19, transaction_cleaned!E25)</f>
        <v>6649.0000000000009</v>
      </c>
      <c r="G25" t="str">
        <f>IF(COUNTIF(transaction_raw!F25, "*chargeback*"), "chargeback", IF(COUNTIF(transaction_raw!F25, "*fail*"), "failed", "captured"))</f>
        <v>chargeback</v>
      </c>
      <c r="H25" s="2">
        <f>IF(transaction_raw!G25="", "blank", IF(ISNUMBER(transaction_raw!G25), transaction_raw!G25, VALUE(RIGHT(transaction_raw!G25, 2))))</f>
        <v>65</v>
      </c>
      <c r="I25" t="str">
        <f>IF(transaction_raw!H25 = "", "blank", TRIM(UPPER(transaction_raw!H25)))</f>
        <v>EU</v>
      </c>
      <c r="J25" t="s">
        <v>33</v>
      </c>
      <c r="K25" t="s">
        <v>22</v>
      </c>
      <c r="L25">
        <f t="shared" si="0"/>
        <v>0</v>
      </c>
      <c r="M25">
        <f t="shared" si="1"/>
        <v>1</v>
      </c>
    </row>
    <row r="26" spans="1:13" x14ac:dyDescent="0.25">
      <c r="A26" t="s">
        <v>89</v>
      </c>
      <c r="B26" s="1" t="str">
        <f>TEXT(transaction_raw!B26, "yyyy/mm/dd")</f>
        <v>2026/03/03</v>
      </c>
      <c r="C26" t="str">
        <f>PROPER(TRIM(transaction_raw!C26))</f>
        <v>City Pharma</v>
      </c>
      <c r="D26">
        <v>2800</v>
      </c>
      <c r="E26" t="s">
        <v>83</v>
      </c>
      <c r="F26" s="3">
        <f>D26 * SUMIFS(exchange_rates!$C$2:$C$19, exchange_rates!$A$2:$A$19, transaction_cleaned!B26, exchange_rates!$B$2:$B$19, transaction_cleaned!E26)</f>
        <v>3024</v>
      </c>
      <c r="G26" t="str">
        <f>IF(COUNTIF(transaction_raw!F26, "*chargeback*"), "chargeback", IF(COUNTIF(transaction_raw!F26, "*fail*"), "failed", "captured"))</f>
        <v>captured</v>
      </c>
      <c r="H26" s="2">
        <f>IF(transaction_raw!G26="", "blank", IF(ISNUMBER(transaction_raw!G26), transaction_raw!G26, VALUE(RIGHT(transaction_raw!G26, 2))))</f>
        <v>38</v>
      </c>
      <c r="I26" t="str">
        <f>IF(transaction_raw!H26 = "", "blank", TRIM(UPPER(transaction_raw!H26)))</f>
        <v>EU</v>
      </c>
      <c r="J26" t="s">
        <v>38</v>
      </c>
      <c r="K26" t="s">
        <v>39</v>
      </c>
      <c r="L26">
        <f t="shared" si="0"/>
        <v>0</v>
      </c>
      <c r="M26">
        <f t="shared" si="1"/>
        <v>0</v>
      </c>
    </row>
    <row r="27" spans="1:13" x14ac:dyDescent="0.25">
      <c r="A27" t="s">
        <v>91</v>
      </c>
      <c r="B27" s="1" t="str">
        <f>TEXT(transaction_raw!B27, "yyyy/mm/dd")</f>
        <v>2026/03/05</v>
      </c>
      <c r="C27" t="str">
        <f>PROPER(TRIM(transaction_raw!C27))</f>
        <v>Eco Home</v>
      </c>
      <c r="D27">
        <v>3300</v>
      </c>
      <c r="E27" t="s">
        <v>83</v>
      </c>
      <c r="F27" s="3">
        <f>D27 * SUMIFS(exchange_rates!$C$2:$C$19, exchange_rates!$A$2:$A$19, transaction_cleaned!B27, exchange_rates!$B$2:$B$19, transaction_cleaned!E27)</f>
        <v>3597.0000000000005</v>
      </c>
      <c r="G27" t="str">
        <f>IF(COUNTIF(transaction_raw!F27, "*chargeback*"), "chargeback", IF(COUNTIF(transaction_raw!F27, "*fail*"), "failed", "captured"))</f>
        <v>failed</v>
      </c>
      <c r="H27" s="2">
        <f>IF(transaction_raw!G27="", "blank", IF(ISNUMBER(transaction_raw!G27), transaction_raw!G27, VALUE(RIGHT(transaction_raw!G27, 2))))</f>
        <v>44</v>
      </c>
      <c r="I27" t="str">
        <f>IF(transaction_raw!H27 = "", "blank", TRIM(UPPER(transaction_raw!H27)))</f>
        <v>EU</v>
      </c>
      <c r="J27" t="s">
        <v>44</v>
      </c>
      <c r="K27" t="s">
        <v>28</v>
      </c>
      <c r="L27">
        <f t="shared" si="0"/>
        <v>0</v>
      </c>
      <c r="M27">
        <f t="shared" si="1"/>
        <v>0</v>
      </c>
    </row>
    <row r="28" spans="1:13" x14ac:dyDescent="0.25">
      <c r="A28" t="s">
        <v>92</v>
      </c>
      <c r="B28" s="1" t="str">
        <f>TEXT(transaction_raw!B28, "yyyy/mm/dd")</f>
        <v>2026/03/01</v>
      </c>
      <c r="C28" t="str">
        <f>PROPER(TRIM(transaction_raw!C28))</f>
        <v>Delta Travels</v>
      </c>
      <c r="D28">
        <v>7200</v>
      </c>
      <c r="E28" t="s">
        <v>94</v>
      </c>
      <c r="F28" s="3">
        <f>D28 * SUMIFS(exchange_rates!$C$2:$C$19, exchange_rates!$A$2:$A$19, transaction_cleaned!B28, exchange_rates!$B$2:$B$19, transaction_cleaned!E28)</f>
        <v>7200</v>
      </c>
      <c r="G28" t="str">
        <f>IF(COUNTIF(transaction_raw!F28, "*chargeback*"), "chargeback", IF(COUNTIF(transaction_raw!F28, "*fail*"), "failed", "captured"))</f>
        <v>captured</v>
      </c>
      <c r="H28" s="2">
        <f>IF(transaction_raw!G28="", "blank", IF(ISNUMBER(transaction_raw!G28), transaction_raw!G28, VALUE(RIGHT(transaction_raw!G28, 2))))</f>
        <v>49</v>
      </c>
      <c r="I28" t="str">
        <f>IF(transaction_raw!H28 = "", "blank", TRIM(UPPER(transaction_raw!H28)))</f>
        <v>US</v>
      </c>
      <c r="J28" t="s">
        <v>46</v>
      </c>
      <c r="K28" t="s">
        <v>22</v>
      </c>
      <c r="L28">
        <f t="shared" si="0"/>
        <v>1</v>
      </c>
      <c r="M28">
        <f t="shared" si="1"/>
        <v>0</v>
      </c>
    </row>
    <row r="29" spans="1:13" x14ac:dyDescent="0.25">
      <c r="A29" t="s">
        <v>96</v>
      </c>
      <c r="B29" s="1" t="str">
        <f>TEXT(transaction_raw!B29, "yyyy/mm/dd")</f>
        <v>2026/03/02</v>
      </c>
      <c r="C29" t="str">
        <f>PROPER(TRIM(transaction_raw!C29))</f>
        <v>Delta Travels</v>
      </c>
      <c r="D29">
        <v>3100</v>
      </c>
      <c r="E29" t="s">
        <v>94</v>
      </c>
      <c r="F29" s="3">
        <f>D29 * SUMIFS(exchange_rates!$C$2:$C$19, exchange_rates!$A$2:$A$19, transaction_cleaned!B29, exchange_rates!$B$2:$B$19, transaction_cleaned!E29)</f>
        <v>3100</v>
      </c>
      <c r="G29" t="str">
        <f>IF(COUNTIF(transaction_raw!F29, "*chargeback*"), "chargeback", IF(COUNTIF(transaction_raw!F29, "*fail*"), "failed", "captured"))</f>
        <v>captured</v>
      </c>
      <c r="H29" s="2">
        <f>IF(transaction_raw!G29="", "blank", IF(ISNUMBER(transaction_raw!G29), transaction_raw!G29, VALUE(RIGHT(transaction_raw!G29, 2))))</f>
        <v>41</v>
      </c>
      <c r="I29" t="str">
        <f>IF(transaction_raw!H29 = "", "blank", TRIM(UPPER(transaction_raw!H29)))</f>
        <v>US</v>
      </c>
      <c r="J29" t="s">
        <v>53</v>
      </c>
      <c r="K29" t="s">
        <v>22</v>
      </c>
      <c r="L29">
        <f t="shared" si="0"/>
        <v>0</v>
      </c>
      <c r="M29">
        <f t="shared" si="1"/>
        <v>0</v>
      </c>
    </row>
    <row r="30" spans="1:13" x14ac:dyDescent="0.25">
      <c r="A30" t="s">
        <v>100</v>
      </c>
      <c r="B30" s="1" t="str">
        <f>TEXT(transaction_raw!B30, "yyyy/mm/dd")</f>
        <v>2026/03/04</v>
      </c>
      <c r="C30" t="str">
        <f>PROPER(TRIM(transaction_raw!C30))</f>
        <v>Delta Travels</v>
      </c>
      <c r="D30">
        <v>2500</v>
      </c>
      <c r="E30" t="s">
        <v>94</v>
      </c>
      <c r="F30" s="3">
        <f>D30 * SUMIFS(exchange_rates!$C$2:$C$19, exchange_rates!$A$2:$A$19, transaction_cleaned!B30, exchange_rates!$B$2:$B$19, transaction_cleaned!E30)</f>
        <v>2500</v>
      </c>
      <c r="G30" t="str">
        <f>IF(COUNTIF(transaction_raw!F30, "*chargeback*"), "chargeback", IF(COUNTIF(transaction_raw!F30, "*fail*"), "failed", "captured"))</f>
        <v>chargeback</v>
      </c>
      <c r="H30" s="2">
        <f>IF(transaction_raw!G30="", "blank", IF(ISNUMBER(transaction_raw!G30), transaction_raw!G30, VALUE(RIGHT(transaction_raw!G30, 2))))</f>
        <v>58</v>
      </c>
      <c r="I30" t="str">
        <f>IF(transaction_raw!H30 = "", "blank", TRIM(UPPER(transaction_raw!H30)))</f>
        <v>US</v>
      </c>
      <c r="J30" t="s">
        <v>57</v>
      </c>
      <c r="K30" t="s">
        <v>39</v>
      </c>
      <c r="L30">
        <f t="shared" si="0"/>
        <v>0</v>
      </c>
      <c r="M30">
        <f t="shared" si="1"/>
        <v>1</v>
      </c>
    </row>
    <row r="31" spans="1:13" x14ac:dyDescent="0.25">
      <c r="A31" t="s">
        <v>103</v>
      </c>
      <c r="B31" s="1" t="str">
        <f>TEXT(transaction_raw!B31, "yyyy/mm/dd")</f>
        <v>2026/03/06</v>
      </c>
      <c r="C31" t="str">
        <f>PROPER(TRIM(transaction_raw!C31))</f>
        <v>Delta Travels</v>
      </c>
      <c r="D31">
        <v>1800</v>
      </c>
      <c r="E31" t="s">
        <v>94</v>
      </c>
      <c r="F31" s="3">
        <f>D31 * SUMIFS(exchange_rates!$C$2:$C$19, exchange_rates!$A$2:$A$19, transaction_cleaned!B31, exchange_rates!$B$2:$B$19, transaction_cleaned!E31)</f>
        <v>1800</v>
      </c>
      <c r="G31" t="str">
        <f>IF(COUNTIF(transaction_raw!F31, "*chargeback*"), "chargeback", IF(COUNTIF(transaction_raw!F31, "*fail*"), "failed", "captured"))</f>
        <v>failed</v>
      </c>
      <c r="H31" s="2">
        <f>IF(transaction_raw!G31="", "blank", IF(ISNUMBER(transaction_raw!G31), transaction_raw!G31, VALUE(RIGHT(transaction_raw!G31, 2))))</f>
        <v>47</v>
      </c>
      <c r="I31" t="str">
        <f>IF(transaction_raw!H31 = "", "blank", TRIM(UPPER(transaction_raw!H31)))</f>
        <v>US</v>
      </c>
      <c r="J31" t="s">
        <v>60</v>
      </c>
      <c r="K31" t="s">
        <v>17</v>
      </c>
      <c r="L31">
        <f t="shared" si="0"/>
        <v>0</v>
      </c>
      <c r="M31">
        <f t="shared" si="1"/>
        <v>0</v>
      </c>
    </row>
  </sheetData>
  <autoFilter ref="A1:M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8" sqref="C8"/>
    </sheetView>
  </sheetViews>
  <sheetFormatPr defaultRowHeight="15" x14ac:dyDescent="0.25"/>
  <cols>
    <col min="1" max="1" width="9.5703125" bestFit="1" customWidth="1"/>
  </cols>
  <sheetData>
    <row r="1" spans="1:3" x14ac:dyDescent="0.25">
      <c r="A1" t="s">
        <v>105</v>
      </c>
      <c r="B1" t="s">
        <v>4</v>
      </c>
      <c r="C1" t="s">
        <v>106</v>
      </c>
    </row>
    <row r="2" spans="1:3" x14ac:dyDescent="0.25">
      <c r="A2" s="1">
        <v>46082</v>
      </c>
      <c r="B2" t="s">
        <v>12</v>
      </c>
      <c r="C2">
        <v>1.1900000000000001E-2</v>
      </c>
    </row>
    <row r="3" spans="1:3" x14ac:dyDescent="0.25">
      <c r="A3" s="1">
        <v>46082</v>
      </c>
      <c r="B3" t="s">
        <v>83</v>
      </c>
      <c r="C3">
        <v>1.08</v>
      </c>
    </row>
    <row r="4" spans="1:3" x14ac:dyDescent="0.25">
      <c r="A4" s="1">
        <v>46082</v>
      </c>
      <c r="B4" t="s">
        <v>94</v>
      </c>
      <c r="C4">
        <v>1</v>
      </c>
    </row>
    <row r="5" spans="1:3" x14ac:dyDescent="0.25">
      <c r="A5" s="1">
        <v>46083</v>
      </c>
      <c r="B5" t="s">
        <v>12</v>
      </c>
      <c r="C5">
        <v>1.2E-2</v>
      </c>
    </row>
    <row r="6" spans="1:3" x14ac:dyDescent="0.25">
      <c r="A6" s="1">
        <v>46083</v>
      </c>
      <c r="B6" t="s">
        <v>83</v>
      </c>
      <c r="C6">
        <v>1.0900000000000001</v>
      </c>
    </row>
    <row r="7" spans="1:3" x14ac:dyDescent="0.25">
      <c r="A7" s="1">
        <v>46083</v>
      </c>
      <c r="B7" t="s">
        <v>94</v>
      </c>
      <c r="C7">
        <v>1</v>
      </c>
    </row>
    <row r="8" spans="1:3" x14ac:dyDescent="0.25">
      <c r="A8" s="1">
        <v>46084</v>
      </c>
      <c r="B8" t="s">
        <v>12</v>
      </c>
      <c r="C8">
        <v>1.21E-2</v>
      </c>
    </row>
    <row r="9" spans="1:3" x14ac:dyDescent="0.25">
      <c r="A9" s="1">
        <v>46084</v>
      </c>
      <c r="B9" t="s">
        <v>83</v>
      </c>
      <c r="C9">
        <v>1.08</v>
      </c>
    </row>
    <row r="10" spans="1:3" x14ac:dyDescent="0.25">
      <c r="A10" s="1">
        <v>46084</v>
      </c>
      <c r="B10" t="s">
        <v>94</v>
      </c>
      <c r="C10">
        <v>1</v>
      </c>
    </row>
    <row r="11" spans="1:3" x14ac:dyDescent="0.25">
      <c r="A11" s="1">
        <v>46085</v>
      </c>
      <c r="B11" t="s">
        <v>12</v>
      </c>
      <c r="C11">
        <v>1.2E-2</v>
      </c>
    </row>
    <row r="12" spans="1:3" x14ac:dyDescent="0.25">
      <c r="A12" s="1">
        <v>46085</v>
      </c>
      <c r="B12" t="s">
        <v>83</v>
      </c>
      <c r="C12">
        <v>1.07</v>
      </c>
    </row>
    <row r="13" spans="1:3" x14ac:dyDescent="0.25">
      <c r="A13" s="1">
        <v>46085</v>
      </c>
      <c r="B13" t="s">
        <v>94</v>
      </c>
      <c r="C13">
        <v>1</v>
      </c>
    </row>
    <row r="14" spans="1:3" x14ac:dyDescent="0.25">
      <c r="A14" s="1">
        <v>46086</v>
      </c>
      <c r="B14" t="s">
        <v>12</v>
      </c>
      <c r="C14">
        <v>1.18E-2</v>
      </c>
    </row>
    <row r="15" spans="1:3" x14ac:dyDescent="0.25">
      <c r="A15" s="1">
        <v>46086</v>
      </c>
      <c r="B15" t="s">
        <v>83</v>
      </c>
      <c r="C15">
        <v>1.0900000000000001</v>
      </c>
    </row>
    <row r="16" spans="1:3" x14ac:dyDescent="0.25">
      <c r="A16" s="1">
        <v>46086</v>
      </c>
      <c r="B16" t="s">
        <v>94</v>
      </c>
      <c r="C16">
        <v>1</v>
      </c>
    </row>
    <row r="17" spans="1:3" x14ac:dyDescent="0.25">
      <c r="A17" s="1">
        <v>46087</v>
      </c>
      <c r="B17" t="s">
        <v>12</v>
      </c>
      <c r="C17">
        <v>1.1900000000000001E-2</v>
      </c>
    </row>
    <row r="18" spans="1:3" x14ac:dyDescent="0.25">
      <c r="A18" s="1">
        <v>46087</v>
      </c>
      <c r="B18" t="s">
        <v>83</v>
      </c>
      <c r="C18">
        <v>1.08</v>
      </c>
    </row>
    <row r="19" spans="1:3" x14ac:dyDescent="0.25">
      <c r="A19" s="1">
        <v>46087</v>
      </c>
      <c r="B19" t="s">
        <v>94</v>
      </c>
      <c r="C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2" sqref="B2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16.7109375" bestFit="1" customWidth="1"/>
    <col min="4" max="4" width="18.28515625" bestFit="1" customWidth="1"/>
    <col min="5" max="5" width="14.28515625" bestFit="1" customWidth="1"/>
  </cols>
  <sheetData>
    <row r="1" spans="1:5" x14ac:dyDescent="0.25">
      <c r="A1" t="s">
        <v>107</v>
      </c>
      <c r="B1" t="s">
        <v>2</v>
      </c>
      <c r="C1" t="s">
        <v>108</v>
      </c>
      <c r="D1" t="s">
        <v>109</v>
      </c>
      <c r="E1" t="s">
        <v>110</v>
      </c>
    </row>
    <row r="2" spans="1:5" x14ac:dyDescent="0.25">
      <c r="A2" t="s">
        <v>111</v>
      </c>
      <c r="B2" t="s">
        <v>35</v>
      </c>
      <c r="C2" t="s">
        <v>112</v>
      </c>
      <c r="D2" t="s">
        <v>113</v>
      </c>
      <c r="E2" t="s">
        <v>15</v>
      </c>
    </row>
    <row r="3" spans="1:5" x14ac:dyDescent="0.25">
      <c r="A3" t="s">
        <v>114</v>
      </c>
      <c r="B3" t="s">
        <v>49</v>
      </c>
      <c r="C3" t="s">
        <v>115</v>
      </c>
      <c r="D3" t="s">
        <v>116</v>
      </c>
      <c r="E3" t="s">
        <v>15</v>
      </c>
    </row>
    <row r="4" spans="1:5" x14ac:dyDescent="0.25">
      <c r="A4" t="s">
        <v>117</v>
      </c>
      <c r="B4" t="s">
        <v>82</v>
      </c>
      <c r="C4" t="s">
        <v>118</v>
      </c>
      <c r="D4" t="s">
        <v>119</v>
      </c>
      <c r="E4" t="s">
        <v>88</v>
      </c>
    </row>
    <row r="5" spans="1:5" x14ac:dyDescent="0.25">
      <c r="A5" t="s">
        <v>120</v>
      </c>
      <c r="B5" t="s">
        <v>97</v>
      </c>
      <c r="C5" t="s">
        <v>121</v>
      </c>
      <c r="D5" t="s">
        <v>122</v>
      </c>
      <c r="E5" t="s">
        <v>99</v>
      </c>
    </row>
    <row r="6" spans="1:5" x14ac:dyDescent="0.25">
      <c r="A6" t="s">
        <v>123</v>
      </c>
      <c r="B6" t="s">
        <v>86</v>
      </c>
      <c r="C6" t="s">
        <v>124</v>
      </c>
      <c r="D6" t="s">
        <v>125</v>
      </c>
      <c r="E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transaction_raw</vt:lpstr>
      <vt:lpstr>transaction_cleaned</vt:lpstr>
      <vt:lpstr>exchange_rates</vt:lpstr>
      <vt:lpstr>merchant_master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2026-05-09T18:17:30Z</dcterms:modified>
</cp:coreProperties>
</file>